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lake/Desktop/Coding/Stock/data/reference/"/>
    </mc:Choice>
  </mc:AlternateContent>
  <xr:revisionPtr revIDLastSave="0" documentId="13_ncr:1_{4C63A199-7598-094A-B83C-141028D1817A}" xr6:coauthVersionLast="47" xr6:coauthVersionMax="47" xr10:uidLastSave="{00000000-0000-0000-0000-000000000000}"/>
  <bookViews>
    <workbookView xWindow="0" yWindow="500" windowWidth="40960" windowHeight="22540" activeTab="1" xr2:uid="{00000000-000D-0000-FFFF-FFFF00000000}"/>
  </bookViews>
  <sheets>
    <sheet name="보조금" sheetId="1" r:id="rId1"/>
    <sheet name="가격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2" l="1"/>
  <c r="G66" i="2"/>
  <c r="G63" i="2"/>
  <c r="G62" i="2"/>
  <c r="G60" i="2"/>
  <c r="G58" i="2"/>
  <c r="G55" i="2"/>
  <c r="G54" i="2"/>
  <c r="G52" i="2"/>
  <c r="G50" i="2"/>
  <c r="G47" i="2"/>
  <c r="G46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39" i="2"/>
  <c r="A40" i="2"/>
  <c r="A41" i="2"/>
  <c r="A42" i="2"/>
  <c r="A43" i="2"/>
  <c r="A44" i="2"/>
  <c r="A45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<sst xmlns="http://schemas.openxmlformats.org/spreadsheetml/2006/main" count="424" uniqueCount="171">
  <si>
    <t>company</t>
  </si>
  <si>
    <t>trim</t>
  </si>
  <si>
    <t>subsidy_national</t>
  </si>
  <si>
    <t>subsidy_lease</t>
  </si>
  <si>
    <t>현대</t>
  </si>
  <si>
    <t>아이오닉5 N</t>
  </si>
  <si>
    <t>더뉴아이오닉5 2WD 롱레인지 19인치 빌트인 캠 미적용</t>
  </si>
  <si>
    <t>더뉴아이오닉5 2WD 롱레인지 19인치</t>
  </si>
  <si>
    <t>더뉴아이오닉5 2WD 롱레인지 20인치</t>
  </si>
  <si>
    <t>더뉴아이오닉5 AWD 롱레인지 20인치</t>
  </si>
  <si>
    <t>더뉴아이오닉5 AWD 롱레인지 19인치</t>
  </si>
  <si>
    <t>더뉴아이오닉5 2WD 롱레인지 N라인 20인치</t>
  </si>
  <si>
    <t>더뉴아이오닉5 AWD 롱레인지 N라인 20인치</t>
  </si>
  <si>
    <t>더뉴아이오닉5 2WD 스탠다드 19인치</t>
  </si>
  <si>
    <t>아이오닉6 스탠다드 2WD 18인치</t>
  </si>
  <si>
    <t>아이오닉6 롱레인지 2WD 18인치</t>
  </si>
  <si>
    <t>아이오닉6 롱레인지 2WD 20인치</t>
  </si>
  <si>
    <t>아이오닉6 롱레인지 AWD 18인치</t>
  </si>
  <si>
    <t>아이오닉6 롱레인지 AWD 20인치</t>
  </si>
  <si>
    <t>아이오닉9 성능형 AWD</t>
  </si>
  <si>
    <t>아이오닉9 항속형 AWD</t>
  </si>
  <si>
    <t>아이오닉9 항속형 2WD</t>
  </si>
  <si>
    <t>코나 일렉트릭 2WD 스탠다드 17인치</t>
  </si>
  <si>
    <t>코나 일렉트릭 2WD 롱레인지 17인치</t>
  </si>
  <si>
    <t>코나 일렉트릭 2WD 롱레인지 19인치(빌트인 캠)</t>
  </si>
  <si>
    <t>코나 일렉트릭 2WD 롱레인지 17인치(빌트인 캠)</t>
  </si>
  <si>
    <t>Electrified G80 AWD 19인치(2025)</t>
  </si>
  <si>
    <t>GV60 스탠다드 2WD 19인치</t>
  </si>
  <si>
    <t>GV60 스탠다드 AWD 19인치</t>
  </si>
  <si>
    <t>GV60 스탠다드 AWD 20인치</t>
  </si>
  <si>
    <t>GV60 퍼포먼스 AWD 21인치</t>
  </si>
  <si>
    <t>GV60 퍼포먼스 AWD 21인치(2025)</t>
  </si>
  <si>
    <t>GV60 스탠다드 AWD 20인치(2025)</t>
  </si>
  <si>
    <t>GV60 스탠다드 AWD 19인치(2025)</t>
  </si>
  <si>
    <t>GV60 스탠다드 2WD 19인치(2025)</t>
  </si>
  <si>
    <t>Electrified GV70 AWD 20인치</t>
  </si>
  <si>
    <t>Electrified GV70 AWD 19인치</t>
  </si>
  <si>
    <t>Electrified GV70 AWD 20인치(2025)</t>
  </si>
  <si>
    <t>Electrified GV70 AWD 19인치(2025)</t>
  </si>
  <si>
    <t>캐스퍼 일렉트릭 항속형 17인치</t>
  </si>
  <si>
    <t>캐스퍼 일렉트릭 항속형 15인치</t>
  </si>
  <si>
    <t>캐스퍼 일렉트릭 기본형 15인치</t>
  </si>
  <si>
    <t>캐스퍼 일렉트릭 크로스 17인치</t>
  </si>
  <si>
    <t>기아</t>
  </si>
  <si>
    <t>EV3 롱레인지 2WD 17인치</t>
  </si>
  <si>
    <t>EV3 롱레인지 2WD 19인치</t>
  </si>
  <si>
    <t>EV3 스탠다드 2WD</t>
  </si>
  <si>
    <t>EV4 롱레인지 GTL 2WD 19인치</t>
  </si>
  <si>
    <t>EV4 스탠다드 2WD 19인치</t>
  </si>
  <si>
    <t>EV4 롱레인지 2WD 17인치</t>
  </si>
  <si>
    <t>EV4 롱레인지 2WD 19인치</t>
  </si>
  <si>
    <t>EV4 스탠다드 2WD 17인치</t>
  </si>
  <si>
    <t>더뉴EV6 롱레인지 4WD 20인치</t>
  </si>
  <si>
    <t>더뉴EV6 롱레인지 2WD 20인치</t>
  </si>
  <si>
    <t>더뉴EV6 롱레인지 4WD 19인치</t>
  </si>
  <si>
    <t>더뉴EV6 롱레인지 2WD 19인치</t>
  </si>
  <si>
    <t>더뉴EV6 GT</t>
  </si>
  <si>
    <t>더뉴EV6 스탠다드</t>
  </si>
  <si>
    <t>EV9 롱레인지 2WD 19인치</t>
  </si>
  <si>
    <t>EV9 롱레인지 2WD 20인치</t>
  </si>
  <si>
    <t>EV9 롱레인지 4WD 19인치</t>
  </si>
  <si>
    <t>EV9 롱레인지 4WD 21인치</t>
  </si>
  <si>
    <t>EV9 롱레인지 GTL 4WD 21인치</t>
  </si>
  <si>
    <t>EV9 스탠다드</t>
  </si>
  <si>
    <t>The all-new Kia Niro EV</t>
  </si>
  <si>
    <t>레이 EV 2WD 14인치 4인승 승용</t>
  </si>
  <si>
    <t>레이 EV 2WD 14인치 2인승 밴</t>
  </si>
  <si>
    <t>레이 EV 2WD 14인치 1인승 밴</t>
  </si>
  <si>
    <t>케이지 모빌리티</t>
  </si>
  <si>
    <t>토레스 EVX 2WD 18인치</t>
  </si>
  <si>
    <t>토레스 EVX 2WD 20인치</t>
  </si>
  <si>
    <t>토레스 EVX 18인치</t>
  </si>
  <si>
    <t>토레스 EVX 20인치</t>
  </si>
  <si>
    <t>코란도 EV 2WD</t>
  </si>
  <si>
    <t>테슬라 코리아</t>
  </si>
  <si>
    <t>Model 3 Long Range</t>
  </si>
  <si>
    <t>Model 3 Performance</t>
  </si>
  <si>
    <t>Model 3 RWD</t>
  </si>
  <si>
    <t>New Model Y Long Range</t>
  </si>
  <si>
    <t>New Model Y RWD</t>
  </si>
  <si>
    <t>BMW</t>
  </si>
  <si>
    <t>i4 eDrive40</t>
  </si>
  <si>
    <t>i4 M50</t>
  </si>
  <si>
    <t>i4 eDrive40 LCI</t>
  </si>
  <si>
    <t>i4 M50 LCI</t>
  </si>
  <si>
    <t>iX1 xDrive30</t>
  </si>
  <si>
    <t>iX2 eDrive20</t>
  </si>
  <si>
    <t>MINI Countryman SE ALL4</t>
  </si>
  <si>
    <t>MINI Countryman E</t>
  </si>
  <si>
    <t>MINI Aceman SE</t>
  </si>
  <si>
    <t>MINI JCW Aceman E</t>
  </si>
  <si>
    <t>MINI JCW E</t>
  </si>
  <si>
    <t>MINI Aceman E</t>
  </si>
  <si>
    <t>메르세데스벤츠 코리아</t>
  </si>
  <si>
    <t>EQA250(Facelift)</t>
  </si>
  <si>
    <t>EQB300 4MATIC(Facelift)(5인승)</t>
  </si>
  <si>
    <t>EQB300 4MATIC(Facelift)(7인승)</t>
  </si>
  <si>
    <t>폭스바겐 그룹 코리아</t>
  </si>
  <si>
    <t>폭스바겐 ID.4 Pro</t>
  </si>
  <si>
    <t>아우디 Q4 Sportback 45 e-tron</t>
  </si>
  <si>
    <t>아우디 Q4 45 e-tron</t>
  </si>
  <si>
    <t>아우디 Q6 e-tron performance</t>
  </si>
  <si>
    <t>볼보자동차코리아</t>
  </si>
  <si>
    <t>볼보 EX30 Single Motor ER</t>
  </si>
  <si>
    <t>폴스타오토모티브코리아</t>
  </si>
  <si>
    <t>Polestar 4 Long Range Single Motor</t>
  </si>
  <si>
    <t>Polestar 4 Long Range Dual Motor</t>
  </si>
  <si>
    <t>비와이디코리아</t>
  </si>
  <si>
    <t>BYD ATTO 3</t>
  </si>
  <si>
    <t>싼타페 하이브리드</t>
    <phoneticPr fontId="2" type="noConversion"/>
  </si>
  <si>
    <t>익스클루시브</t>
    <phoneticPr fontId="2" type="noConversion"/>
  </si>
  <si>
    <t>프레스티지</t>
    <phoneticPr fontId="2" type="noConversion"/>
  </si>
  <si>
    <t>프레스티지 플러스</t>
    <phoneticPr fontId="2" type="noConversion"/>
  </si>
  <si>
    <t>캘리그래피</t>
    <phoneticPr fontId="2" type="noConversion"/>
  </si>
  <si>
    <t>year</t>
    <phoneticPr fontId="2" type="noConversion"/>
  </si>
  <si>
    <t>model</t>
    <phoneticPr fontId="2" type="noConversion"/>
  </si>
  <si>
    <t>comment</t>
    <phoneticPr fontId="2" type="noConversion"/>
  </si>
  <si>
    <t>2WD</t>
    <phoneticPr fontId="2" type="noConversion"/>
  </si>
  <si>
    <t>company</t>
    <phoneticPr fontId="2" type="noConversion"/>
  </si>
  <si>
    <t>현대</t>
    <phoneticPr fontId="2" type="noConversion"/>
  </si>
  <si>
    <t>key</t>
    <phoneticPr fontId="2" type="noConversion"/>
  </si>
  <si>
    <t>price_car_pre</t>
  </si>
  <si>
    <t>price_car_post</t>
    <phoneticPr fontId="2" type="noConversion"/>
  </si>
  <si>
    <t>에어 롱레인지</t>
  </si>
  <si>
    <t>EV6</t>
  </si>
  <si>
    <t>어스 롱레인지</t>
  </si>
  <si>
    <t>에어 스탠다드</t>
  </si>
  <si>
    <t>어스 스탠다드</t>
  </si>
  <si>
    <t>GT-line 스탠다드</t>
  </si>
  <si>
    <t>GT-line 롱레인지</t>
  </si>
  <si>
    <t>기아</t>
    <phoneticPr fontId="2" type="noConversion"/>
  </si>
  <si>
    <t>EV4</t>
    <phoneticPr fontId="2" type="noConversion"/>
  </si>
  <si>
    <t>EV3</t>
    <phoneticPr fontId="2" type="noConversion"/>
  </si>
  <si>
    <t>EV6</t>
    <phoneticPr fontId="2" type="noConversion"/>
  </si>
  <si>
    <t>라이트 스탠다드</t>
  </si>
  <si>
    <t>라이트 롱레인지</t>
  </si>
  <si>
    <t>부정확</t>
    <phoneticPr fontId="2" type="noConversion"/>
  </si>
  <si>
    <t>하이브리드 1.6 노블레스</t>
  </si>
  <si>
    <t>하이브리드 1.6 그래비티 7인승</t>
  </si>
  <si>
    <t>하이브리드 1.6 그래비티 9인승</t>
  </si>
  <si>
    <t>하이브리드 1.6 노블레스 7인승</t>
  </si>
  <si>
    <t>하이브리드 1.6 노블레스 9인승</t>
  </si>
  <si>
    <t>가솔린 터보 2.5 프레스티지</t>
    <phoneticPr fontId="2" type="noConversion"/>
  </si>
  <si>
    <t>가솔린 터보 2.5 노블레스</t>
    <phoneticPr fontId="2" type="noConversion"/>
  </si>
  <si>
    <t>가솔린 터보 2.5 시그니처</t>
    <phoneticPr fontId="2" type="noConversion"/>
  </si>
  <si>
    <t>가솔린 터보 2.5 X-Line</t>
    <phoneticPr fontId="2" type="noConversion"/>
  </si>
  <si>
    <t>하이브리드 1.6 프레스티지</t>
  </si>
  <si>
    <t>하이브리드 1.6 시그니처</t>
  </si>
  <si>
    <t>하이브리드 1.6 X-Line</t>
  </si>
  <si>
    <t>쏘렌토</t>
    <phoneticPr fontId="2" type="noConversion"/>
  </si>
  <si>
    <t>카니발</t>
    <phoneticPr fontId="2" type="noConversion"/>
  </si>
  <si>
    <t>가솔린 3.5 프레스티지 9인승</t>
  </si>
  <si>
    <t>가솔린 3.5 노블레스 9인승</t>
  </si>
  <si>
    <t>가솔린 3.5 노블레스 7인승</t>
  </si>
  <si>
    <t>가솔린 3.5 아웃도어 7인승</t>
  </si>
  <si>
    <t>가솔린 3.5 시그니처 9인승</t>
  </si>
  <si>
    <t>가솔린 3.5 시그니처 7인승</t>
  </si>
  <si>
    <t>가솔린 3.5 그래비티 9인승</t>
  </si>
  <si>
    <t>가솔린 3.5 그래비티 7인승</t>
  </si>
  <si>
    <t>디젤 2.2 프레스티지 9인승</t>
  </si>
  <si>
    <t>디젤 2.2 노블레스 9인승</t>
  </si>
  <si>
    <t>디젤 2.2 노블레스 7인승</t>
  </si>
  <si>
    <t>디젤 2.2 아웃도어 7인승</t>
  </si>
  <si>
    <t>디젤 2.2 시그니처 9인승</t>
  </si>
  <si>
    <t>디젤 2.2 시그니처 7인승</t>
  </si>
  <si>
    <t>디젤 2.2 그래비티 9인승</t>
  </si>
  <si>
    <t>디젤 2.2 그래비티 7인승</t>
  </si>
  <si>
    <t>하이브리드 1.6 프레스티지 9인승</t>
  </si>
  <si>
    <t>하이브리드 1.6 아웃도어 7인승</t>
  </si>
  <si>
    <t>하이브리드 1.6 시그니처 9인승</t>
  </si>
  <si>
    <t>하이브리드 1.6 시그니처 7인승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</si>
</sst>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i/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0" xfId="0" applyFont="1" applyAlignment="1">
      <alignment horizontal="center" vertical="top"/>
    </xf>
    <xf numFmtId="176" fontId="4" fillId="0" borderId="0" xfId="0" applyNumberFormat="1" applyFont="1"/>
    <xf numFmtId="0" fontId="6" fillId="0" borderId="0" xfId="0" applyFont="1"/>
    <xf numFmtId="0" fontId="5" fillId="0" borderId="0" xfId="0" applyFont="1"/>
    <xf numFmtId="0" fontId="7" fillId="0" borderId="0" xfId="0" applyFont="1"/>
    <xf numFmtId="3" fontId="0" fillId="0" borderId="0" xfId="0" applyNumberFormat="1"/>
    <xf numFmtId="3" fontId="4" fillId="0" borderId="0" xfId="0" applyNumberFormat="1" applyFont="1"/>
    <xf numFmtId="3" fontId="5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workbookViewId="0">
      <selection activeCell="A2" sqref="A2"/>
    </sheetView>
  </sheetViews>
  <sheetFormatPr baseColWidth="10" defaultColWidth="8.83203125" defaultRowHeight="17"/>
  <cols>
    <col min="1" max="1" width="23.33203125" bestFit="1" customWidth="1"/>
    <col min="2" max="2" width="52" bestFit="1" customWidth="1"/>
    <col min="3" max="3" width="17.1640625" bestFit="1" customWidth="1"/>
    <col min="4" max="4" width="14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t="s">
        <v>5</v>
      </c>
      <c r="C2">
        <v>232</v>
      </c>
      <c r="D2">
        <v>72</v>
      </c>
    </row>
    <row r="3" spans="1:4">
      <c r="A3" t="s">
        <v>4</v>
      </c>
      <c r="B3" t="s">
        <v>6</v>
      </c>
      <c r="C3">
        <v>659</v>
      </c>
      <c r="D3">
        <v>179</v>
      </c>
    </row>
    <row r="4" spans="1:4">
      <c r="A4" t="s">
        <v>4</v>
      </c>
      <c r="B4" t="s">
        <v>7</v>
      </c>
      <c r="C4">
        <v>656</v>
      </c>
      <c r="D4">
        <v>178</v>
      </c>
    </row>
    <row r="5" spans="1:4">
      <c r="A5" t="s">
        <v>4</v>
      </c>
      <c r="B5" t="s">
        <v>8</v>
      </c>
      <c r="C5">
        <v>651</v>
      </c>
      <c r="D5">
        <v>176</v>
      </c>
    </row>
    <row r="6" spans="1:4">
      <c r="A6" t="s">
        <v>4</v>
      </c>
      <c r="B6" t="s">
        <v>9</v>
      </c>
      <c r="C6">
        <v>624</v>
      </c>
      <c r="D6">
        <v>168</v>
      </c>
    </row>
    <row r="7" spans="1:4">
      <c r="A7" t="s">
        <v>4</v>
      </c>
      <c r="B7" t="s">
        <v>10</v>
      </c>
      <c r="C7">
        <v>650</v>
      </c>
      <c r="D7">
        <v>176</v>
      </c>
    </row>
    <row r="8" spans="1:4">
      <c r="A8" t="s">
        <v>4</v>
      </c>
      <c r="B8" t="s">
        <v>11</v>
      </c>
      <c r="C8">
        <v>633</v>
      </c>
      <c r="D8">
        <v>171</v>
      </c>
    </row>
    <row r="9" spans="1:4">
      <c r="A9" t="s">
        <v>4</v>
      </c>
      <c r="B9" t="s">
        <v>12</v>
      </c>
      <c r="C9">
        <v>602</v>
      </c>
      <c r="D9">
        <v>161</v>
      </c>
    </row>
    <row r="10" spans="1:4">
      <c r="A10" t="s">
        <v>4</v>
      </c>
      <c r="B10" t="s">
        <v>13</v>
      </c>
      <c r="C10">
        <v>561</v>
      </c>
      <c r="D10">
        <v>153</v>
      </c>
    </row>
    <row r="11" spans="1:4">
      <c r="A11" t="s">
        <v>4</v>
      </c>
      <c r="B11" t="s">
        <v>14</v>
      </c>
      <c r="C11">
        <v>635</v>
      </c>
      <c r="D11">
        <v>163</v>
      </c>
    </row>
    <row r="12" spans="1:4">
      <c r="A12" t="s">
        <v>4</v>
      </c>
      <c r="B12" t="s">
        <v>15</v>
      </c>
      <c r="C12">
        <v>686</v>
      </c>
      <c r="D12">
        <v>178</v>
      </c>
    </row>
    <row r="13" spans="1:4">
      <c r="A13" t="s">
        <v>4</v>
      </c>
      <c r="B13" t="s">
        <v>16</v>
      </c>
      <c r="C13">
        <v>680</v>
      </c>
      <c r="D13">
        <v>176</v>
      </c>
    </row>
    <row r="14" spans="1:4">
      <c r="A14" t="s">
        <v>4</v>
      </c>
      <c r="B14" t="s">
        <v>17</v>
      </c>
      <c r="C14">
        <v>686</v>
      </c>
      <c r="D14">
        <v>178</v>
      </c>
    </row>
    <row r="15" spans="1:4">
      <c r="A15" t="s">
        <v>4</v>
      </c>
      <c r="B15" t="s">
        <v>18</v>
      </c>
      <c r="C15">
        <v>647</v>
      </c>
      <c r="D15">
        <v>166</v>
      </c>
    </row>
    <row r="16" spans="1:4">
      <c r="A16" t="s">
        <v>4</v>
      </c>
      <c r="B16" t="s">
        <v>19</v>
      </c>
      <c r="C16">
        <v>277</v>
      </c>
      <c r="D16">
        <v>85</v>
      </c>
    </row>
    <row r="17" spans="1:4">
      <c r="A17" t="s">
        <v>4</v>
      </c>
      <c r="B17" t="s">
        <v>20</v>
      </c>
      <c r="C17">
        <v>276</v>
      </c>
      <c r="D17">
        <v>85</v>
      </c>
    </row>
    <row r="18" spans="1:4">
      <c r="A18" t="s">
        <v>4</v>
      </c>
      <c r="B18" t="s">
        <v>21</v>
      </c>
      <c r="C18">
        <v>279</v>
      </c>
      <c r="D18">
        <v>86</v>
      </c>
    </row>
    <row r="19" spans="1:4">
      <c r="A19" t="s">
        <v>4</v>
      </c>
      <c r="B19" t="s">
        <v>22</v>
      </c>
      <c r="C19">
        <v>573</v>
      </c>
      <c r="D19">
        <v>138</v>
      </c>
    </row>
    <row r="20" spans="1:4">
      <c r="A20" t="s">
        <v>4</v>
      </c>
      <c r="B20" t="s">
        <v>23</v>
      </c>
      <c r="C20">
        <v>623</v>
      </c>
      <c r="D20">
        <v>162</v>
      </c>
    </row>
    <row r="21" spans="1:4">
      <c r="A21" t="s">
        <v>4</v>
      </c>
      <c r="B21" t="s">
        <v>24</v>
      </c>
      <c r="C21">
        <v>568</v>
      </c>
      <c r="D21">
        <v>145</v>
      </c>
    </row>
    <row r="22" spans="1:4">
      <c r="A22" t="s">
        <v>4</v>
      </c>
      <c r="B22" t="s">
        <v>25</v>
      </c>
      <c r="C22">
        <v>623</v>
      </c>
      <c r="D22">
        <v>162</v>
      </c>
    </row>
    <row r="23" spans="1:4">
      <c r="A23" t="s">
        <v>4</v>
      </c>
      <c r="B23" t="s">
        <v>26</v>
      </c>
      <c r="C23">
        <v>275</v>
      </c>
      <c r="D23">
        <v>85</v>
      </c>
    </row>
    <row r="24" spans="1:4">
      <c r="A24" t="s">
        <v>4</v>
      </c>
      <c r="B24" t="s">
        <v>27</v>
      </c>
      <c r="C24">
        <v>287</v>
      </c>
      <c r="D24">
        <v>89</v>
      </c>
    </row>
    <row r="25" spans="1:4">
      <c r="A25" t="s">
        <v>4</v>
      </c>
      <c r="B25" t="s">
        <v>28</v>
      </c>
      <c r="C25">
        <v>261</v>
      </c>
      <c r="D25">
        <v>81</v>
      </c>
    </row>
    <row r="26" spans="1:4">
      <c r="A26" t="s">
        <v>4</v>
      </c>
      <c r="B26" t="s">
        <v>29</v>
      </c>
      <c r="C26">
        <v>251</v>
      </c>
      <c r="D26">
        <v>77</v>
      </c>
    </row>
    <row r="27" spans="1:4">
      <c r="A27" t="s">
        <v>4</v>
      </c>
      <c r="B27" t="s">
        <v>30</v>
      </c>
      <c r="C27">
        <v>236</v>
      </c>
      <c r="D27">
        <v>73</v>
      </c>
    </row>
    <row r="28" spans="1:4">
      <c r="A28" t="s">
        <v>4</v>
      </c>
      <c r="B28" t="s">
        <v>31</v>
      </c>
      <c r="C28">
        <v>248</v>
      </c>
      <c r="D28">
        <v>76</v>
      </c>
    </row>
    <row r="29" spans="1:4">
      <c r="A29" t="s">
        <v>4</v>
      </c>
      <c r="B29" t="s">
        <v>32</v>
      </c>
      <c r="C29">
        <v>266</v>
      </c>
      <c r="D29">
        <v>82</v>
      </c>
    </row>
    <row r="30" spans="1:4">
      <c r="A30" t="s">
        <v>4</v>
      </c>
      <c r="B30" t="s">
        <v>33</v>
      </c>
      <c r="C30">
        <v>277</v>
      </c>
      <c r="D30">
        <v>85</v>
      </c>
    </row>
    <row r="31" spans="1:4">
      <c r="A31" t="s">
        <v>4</v>
      </c>
      <c r="B31" t="s">
        <v>34</v>
      </c>
      <c r="C31">
        <v>290</v>
      </c>
      <c r="D31">
        <v>90</v>
      </c>
    </row>
    <row r="32" spans="1:4">
      <c r="A32" t="s">
        <v>4</v>
      </c>
      <c r="B32" t="s">
        <v>35</v>
      </c>
      <c r="C32">
        <v>244</v>
      </c>
      <c r="D32">
        <v>75</v>
      </c>
    </row>
    <row r="33" spans="1:4">
      <c r="A33" t="s">
        <v>4</v>
      </c>
      <c r="B33" t="s">
        <v>36</v>
      </c>
      <c r="C33">
        <v>260</v>
      </c>
      <c r="D33">
        <v>80</v>
      </c>
    </row>
    <row r="34" spans="1:4">
      <c r="A34" t="s">
        <v>4</v>
      </c>
      <c r="B34" t="s">
        <v>37</v>
      </c>
      <c r="C34">
        <v>250</v>
      </c>
      <c r="D34">
        <v>77</v>
      </c>
    </row>
    <row r="35" spans="1:4">
      <c r="A35" t="s">
        <v>4</v>
      </c>
      <c r="B35" t="s">
        <v>38</v>
      </c>
      <c r="C35">
        <v>266</v>
      </c>
      <c r="D35">
        <v>82</v>
      </c>
    </row>
    <row r="36" spans="1:4">
      <c r="A36" t="s">
        <v>4</v>
      </c>
      <c r="B36" t="s">
        <v>39</v>
      </c>
      <c r="C36">
        <v>500</v>
      </c>
      <c r="D36">
        <v>669</v>
      </c>
    </row>
    <row r="37" spans="1:4">
      <c r="A37" t="s">
        <v>4</v>
      </c>
      <c r="B37" t="s">
        <v>40</v>
      </c>
      <c r="C37">
        <v>500</v>
      </c>
      <c r="D37">
        <v>669</v>
      </c>
    </row>
    <row r="38" spans="1:4">
      <c r="A38" t="s">
        <v>4</v>
      </c>
      <c r="B38" t="s">
        <v>41</v>
      </c>
      <c r="C38">
        <v>500</v>
      </c>
      <c r="D38">
        <v>669</v>
      </c>
    </row>
    <row r="39" spans="1:4">
      <c r="A39" t="s">
        <v>4</v>
      </c>
      <c r="B39" t="s">
        <v>42</v>
      </c>
      <c r="C39">
        <v>500</v>
      </c>
      <c r="D39">
        <v>669</v>
      </c>
    </row>
    <row r="40" spans="1:4">
      <c r="A40" t="s">
        <v>43</v>
      </c>
      <c r="B40" t="s">
        <v>44</v>
      </c>
      <c r="C40">
        <v>565</v>
      </c>
      <c r="D40">
        <v>175</v>
      </c>
    </row>
    <row r="41" spans="1:4">
      <c r="A41" t="s">
        <v>43</v>
      </c>
      <c r="B41" t="s">
        <v>45</v>
      </c>
      <c r="C41">
        <v>565</v>
      </c>
      <c r="D41">
        <v>175</v>
      </c>
    </row>
    <row r="42" spans="1:4">
      <c r="A42" t="s">
        <v>43</v>
      </c>
      <c r="B42" t="s">
        <v>46</v>
      </c>
      <c r="C42">
        <v>479</v>
      </c>
      <c r="D42">
        <v>148</v>
      </c>
    </row>
    <row r="43" spans="1:4">
      <c r="A43" t="s">
        <v>43</v>
      </c>
      <c r="B43" t="s">
        <v>47</v>
      </c>
      <c r="C43">
        <v>565</v>
      </c>
      <c r="D43">
        <v>175</v>
      </c>
    </row>
    <row r="44" spans="1:4">
      <c r="A44" t="s">
        <v>43</v>
      </c>
      <c r="B44" t="s">
        <v>48</v>
      </c>
      <c r="C44">
        <v>491</v>
      </c>
      <c r="D44">
        <v>152</v>
      </c>
    </row>
    <row r="45" spans="1:4">
      <c r="A45" t="s">
        <v>43</v>
      </c>
      <c r="B45" t="s">
        <v>49</v>
      </c>
      <c r="C45">
        <v>565</v>
      </c>
      <c r="D45">
        <v>175</v>
      </c>
    </row>
    <row r="46" spans="1:4">
      <c r="A46" t="s">
        <v>43</v>
      </c>
      <c r="B46" t="s">
        <v>50</v>
      </c>
      <c r="C46">
        <v>565</v>
      </c>
      <c r="D46">
        <v>175</v>
      </c>
    </row>
    <row r="47" spans="1:4">
      <c r="A47" t="s">
        <v>43</v>
      </c>
      <c r="B47" t="s">
        <v>51</v>
      </c>
      <c r="C47">
        <v>522</v>
      </c>
      <c r="D47">
        <v>162</v>
      </c>
    </row>
    <row r="48" spans="1:4">
      <c r="A48" t="s">
        <v>43</v>
      </c>
      <c r="B48" t="s">
        <v>52</v>
      </c>
      <c r="C48">
        <v>617</v>
      </c>
      <c r="D48">
        <v>168</v>
      </c>
    </row>
    <row r="49" spans="1:4">
      <c r="A49" t="s">
        <v>43</v>
      </c>
      <c r="B49" t="s">
        <v>53</v>
      </c>
      <c r="C49">
        <v>644</v>
      </c>
      <c r="D49">
        <v>176</v>
      </c>
    </row>
    <row r="50" spans="1:4">
      <c r="A50" t="s">
        <v>43</v>
      </c>
      <c r="B50" t="s">
        <v>54</v>
      </c>
      <c r="C50">
        <v>646</v>
      </c>
      <c r="D50">
        <v>177</v>
      </c>
    </row>
    <row r="51" spans="1:4">
      <c r="A51" t="s">
        <v>43</v>
      </c>
      <c r="B51" t="s">
        <v>55</v>
      </c>
      <c r="C51">
        <v>655</v>
      </c>
      <c r="D51">
        <v>180</v>
      </c>
    </row>
    <row r="52" spans="1:4">
      <c r="A52" t="s">
        <v>43</v>
      </c>
      <c r="B52" t="s">
        <v>56</v>
      </c>
      <c r="C52">
        <v>232</v>
      </c>
      <c r="D52">
        <v>72</v>
      </c>
    </row>
    <row r="53" spans="1:4">
      <c r="A53" t="s">
        <v>43</v>
      </c>
      <c r="B53" t="s">
        <v>57</v>
      </c>
      <c r="C53">
        <v>582</v>
      </c>
      <c r="D53">
        <v>158</v>
      </c>
    </row>
    <row r="54" spans="1:4">
      <c r="A54" t="s">
        <v>43</v>
      </c>
      <c r="B54" t="s">
        <v>58</v>
      </c>
      <c r="C54">
        <v>275</v>
      </c>
      <c r="D54">
        <v>85</v>
      </c>
    </row>
    <row r="55" spans="1:4">
      <c r="A55" t="s">
        <v>43</v>
      </c>
      <c r="B55" t="s">
        <v>59</v>
      </c>
      <c r="C55">
        <v>273</v>
      </c>
      <c r="D55">
        <v>84</v>
      </c>
    </row>
    <row r="56" spans="1:4">
      <c r="A56" t="s">
        <v>43</v>
      </c>
      <c r="B56" t="s">
        <v>60</v>
      </c>
      <c r="C56">
        <v>259</v>
      </c>
      <c r="D56">
        <v>80</v>
      </c>
    </row>
    <row r="57" spans="1:4">
      <c r="A57" t="s">
        <v>43</v>
      </c>
      <c r="B57" t="s">
        <v>61</v>
      </c>
      <c r="C57">
        <v>265</v>
      </c>
      <c r="D57">
        <v>82</v>
      </c>
    </row>
    <row r="58" spans="1:4">
      <c r="A58" t="s">
        <v>43</v>
      </c>
      <c r="B58" t="s">
        <v>62</v>
      </c>
      <c r="C58">
        <v>257</v>
      </c>
      <c r="D58">
        <v>79</v>
      </c>
    </row>
    <row r="59" spans="1:4">
      <c r="A59" t="s">
        <v>43</v>
      </c>
      <c r="B59" t="s">
        <v>63</v>
      </c>
      <c r="C59">
        <v>242</v>
      </c>
      <c r="D59">
        <v>75</v>
      </c>
    </row>
    <row r="60" spans="1:4">
      <c r="A60" t="s">
        <v>43</v>
      </c>
      <c r="B60" t="s">
        <v>64</v>
      </c>
      <c r="C60">
        <v>590</v>
      </c>
      <c r="D60">
        <v>154</v>
      </c>
    </row>
    <row r="61" spans="1:4">
      <c r="A61" t="s">
        <v>43</v>
      </c>
      <c r="B61" t="s">
        <v>65</v>
      </c>
      <c r="C61">
        <v>455</v>
      </c>
      <c r="D61">
        <v>154</v>
      </c>
    </row>
    <row r="62" spans="1:4">
      <c r="A62" t="s">
        <v>43</v>
      </c>
      <c r="B62" t="s">
        <v>66</v>
      </c>
      <c r="C62">
        <v>455</v>
      </c>
      <c r="D62">
        <v>154</v>
      </c>
    </row>
    <row r="63" spans="1:4">
      <c r="A63" t="s">
        <v>43</v>
      </c>
      <c r="B63" t="s">
        <v>67</v>
      </c>
      <c r="C63">
        <v>455</v>
      </c>
      <c r="D63">
        <v>154</v>
      </c>
    </row>
    <row r="64" spans="1:4">
      <c r="A64" t="s">
        <v>68</v>
      </c>
      <c r="B64" t="s">
        <v>69</v>
      </c>
      <c r="C64">
        <v>373</v>
      </c>
      <c r="D64">
        <v>110</v>
      </c>
    </row>
    <row r="65" spans="1:4">
      <c r="A65" t="s">
        <v>68</v>
      </c>
      <c r="B65" t="s">
        <v>70</v>
      </c>
      <c r="C65">
        <v>356</v>
      </c>
      <c r="D65">
        <v>105</v>
      </c>
    </row>
    <row r="66" spans="1:4">
      <c r="A66" t="s">
        <v>68</v>
      </c>
      <c r="B66" t="s">
        <v>71</v>
      </c>
      <c r="C66">
        <v>364</v>
      </c>
      <c r="D66">
        <v>112</v>
      </c>
    </row>
    <row r="67" spans="1:4">
      <c r="A67" t="s">
        <v>68</v>
      </c>
      <c r="B67" t="s">
        <v>72</v>
      </c>
      <c r="C67">
        <v>354</v>
      </c>
      <c r="D67">
        <v>109</v>
      </c>
    </row>
    <row r="68" spans="1:4">
      <c r="A68" t="s">
        <v>68</v>
      </c>
      <c r="B68" t="s">
        <v>73</v>
      </c>
      <c r="C68">
        <v>340</v>
      </c>
      <c r="D68">
        <v>105</v>
      </c>
    </row>
    <row r="69" spans="1:4">
      <c r="A69" t="s">
        <v>74</v>
      </c>
      <c r="B69" t="s">
        <v>75</v>
      </c>
      <c r="C69">
        <v>202</v>
      </c>
      <c r="D69">
        <v>62</v>
      </c>
    </row>
    <row r="70" spans="1:4">
      <c r="A70" t="s">
        <v>74</v>
      </c>
      <c r="B70" t="s">
        <v>76</v>
      </c>
      <c r="C70">
        <v>187</v>
      </c>
      <c r="D70">
        <v>58</v>
      </c>
    </row>
    <row r="71" spans="1:4">
      <c r="A71" t="s">
        <v>74</v>
      </c>
      <c r="B71" t="s">
        <v>77</v>
      </c>
      <c r="C71">
        <v>186</v>
      </c>
      <c r="D71">
        <v>57</v>
      </c>
    </row>
    <row r="72" spans="1:4">
      <c r="A72" t="s">
        <v>74</v>
      </c>
      <c r="B72" t="s">
        <v>78</v>
      </c>
      <c r="C72">
        <v>207</v>
      </c>
      <c r="D72">
        <v>64</v>
      </c>
    </row>
    <row r="73" spans="1:4">
      <c r="A73" t="s">
        <v>74</v>
      </c>
      <c r="B73" t="s">
        <v>79</v>
      </c>
      <c r="C73">
        <v>188</v>
      </c>
      <c r="D73">
        <v>58</v>
      </c>
    </row>
    <row r="74" spans="1:4">
      <c r="A74" t="s">
        <v>80</v>
      </c>
      <c r="B74" t="s">
        <v>81</v>
      </c>
      <c r="C74">
        <v>189</v>
      </c>
      <c r="D74">
        <v>58</v>
      </c>
    </row>
    <row r="75" spans="1:4">
      <c r="A75" t="s">
        <v>80</v>
      </c>
      <c r="B75" t="s">
        <v>82</v>
      </c>
      <c r="C75">
        <v>172</v>
      </c>
      <c r="D75">
        <v>53</v>
      </c>
    </row>
    <row r="76" spans="1:4">
      <c r="A76" t="s">
        <v>80</v>
      </c>
      <c r="B76" t="s">
        <v>83</v>
      </c>
      <c r="C76">
        <v>187</v>
      </c>
      <c r="D76">
        <v>58</v>
      </c>
    </row>
    <row r="77" spans="1:4">
      <c r="A77" t="s">
        <v>80</v>
      </c>
      <c r="B77" t="s">
        <v>84</v>
      </c>
      <c r="C77">
        <v>177</v>
      </c>
      <c r="D77">
        <v>54</v>
      </c>
    </row>
    <row r="78" spans="1:4">
      <c r="A78" t="s">
        <v>80</v>
      </c>
      <c r="B78" t="s">
        <v>85</v>
      </c>
      <c r="C78">
        <v>154</v>
      </c>
      <c r="D78">
        <v>47</v>
      </c>
    </row>
    <row r="79" spans="1:4">
      <c r="A79" t="s">
        <v>80</v>
      </c>
      <c r="B79" t="s">
        <v>86</v>
      </c>
      <c r="C79">
        <v>167</v>
      </c>
      <c r="D79">
        <v>51</v>
      </c>
    </row>
    <row r="80" spans="1:4">
      <c r="A80" t="s">
        <v>80</v>
      </c>
      <c r="B80" t="s">
        <v>87</v>
      </c>
      <c r="C80">
        <v>158</v>
      </c>
      <c r="D80">
        <v>49</v>
      </c>
    </row>
    <row r="81" spans="1:4">
      <c r="A81" t="s">
        <v>80</v>
      </c>
      <c r="B81" t="s">
        <v>88</v>
      </c>
      <c r="C81">
        <v>166</v>
      </c>
      <c r="D81">
        <v>51</v>
      </c>
    </row>
    <row r="82" spans="1:4">
      <c r="A82" t="s">
        <v>80</v>
      </c>
      <c r="B82" t="s">
        <v>89</v>
      </c>
      <c r="C82">
        <v>306</v>
      </c>
      <c r="D82">
        <v>94</v>
      </c>
    </row>
    <row r="83" spans="1:4">
      <c r="A83" t="s">
        <v>80</v>
      </c>
      <c r="B83" t="s">
        <v>90</v>
      </c>
      <c r="C83">
        <v>151</v>
      </c>
      <c r="D83">
        <v>46</v>
      </c>
    </row>
    <row r="84" spans="1:4">
      <c r="A84" t="s">
        <v>80</v>
      </c>
      <c r="B84" t="s">
        <v>91</v>
      </c>
      <c r="C84">
        <v>147</v>
      </c>
      <c r="D84">
        <v>45</v>
      </c>
    </row>
    <row r="85" spans="1:4">
      <c r="A85" t="s">
        <v>80</v>
      </c>
      <c r="B85" t="s">
        <v>92</v>
      </c>
      <c r="C85">
        <v>306</v>
      </c>
      <c r="D85">
        <v>94</v>
      </c>
    </row>
    <row r="86" spans="1:4">
      <c r="A86" t="s">
        <v>93</v>
      </c>
      <c r="B86" t="s">
        <v>94</v>
      </c>
      <c r="C86">
        <v>190</v>
      </c>
      <c r="D86">
        <v>58</v>
      </c>
    </row>
    <row r="87" spans="1:4">
      <c r="A87" t="s">
        <v>93</v>
      </c>
      <c r="B87" t="s">
        <v>95</v>
      </c>
      <c r="C87">
        <v>154</v>
      </c>
      <c r="D87">
        <v>47</v>
      </c>
    </row>
    <row r="88" spans="1:4">
      <c r="A88" t="s">
        <v>93</v>
      </c>
      <c r="B88" t="s">
        <v>96</v>
      </c>
      <c r="C88">
        <v>154</v>
      </c>
      <c r="D88">
        <v>47</v>
      </c>
    </row>
    <row r="89" spans="1:4">
      <c r="A89" t="s">
        <v>97</v>
      </c>
      <c r="B89" t="s">
        <v>98</v>
      </c>
      <c r="C89">
        <v>422</v>
      </c>
      <c r="D89">
        <v>130</v>
      </c>
    </row>
    <row r="90" spans="1:4">
      <c r="A90" t="s">
        <v>97</v>
      </c>
      <c r="B90" t="s">
        <v>99</v>
      </c>
      <c r="C90">
        <v>201</v>
      </c>
      <c r="D90">
        <v>62</v>
      </c>
    </row>
    <row r="91" spans="1:4">
      <c r="A91" t="s">
        <v>97</v>
      </c>
      <c r="B91" t="s">
        <v>100</v>
      </c>
      <c r="C91">
        <v>201</v>
      </c>
      <c r="D91">
        <v>62</v>
      </c>
    </row>
    <row r="92" spans="1:4">
      <c r="A92" t="s">
        <v>97</v>
      </c>
      <c r="B92" t="s">
        <v>101</v>
      </c>
      <c r="C92">
        <v>220</v>
      </c>
      <c r="D92">
        <v>68</v>
      </c>
    </row>
    <row r="93" spans="1:4">
      <c r="A93" t="s">
        <v>102</v>
      </c>
      <c r="B93" t="s">
        <v>103</v>
      </c>
      <c r="C93">
        <v>247</v>
      </c>
      <c r="D93">
        <v>76</v>
      </c>
    </row>
    <row r="94" spans="1:4">
      <c r="A94" t="s">
        <v>104</v>
      </c>
      <c r="B94" t="s">
        <v>105</v>
      </c>
      <c r="C94">
        <v>181</v>
      </c>
      <c r="D94">
        <v>56</v>
      </c>
    </row>
    <row r="95" spans="1:4">
      <c r="A95" t="s">
        <v>104</v>
      </c>
      <c r="B95" t="s">
        <v>106</v>
      </c>
      <c r="C95">
        <v>141</v>
      </c>
      <c r="D95">
        <v>43</v>
      </c>
    </row>
    <row r="96" spans="1:4">
      <c r="A96" t="s">
        <v>107</v>
      </c>
      <c r="B96" t="s">
        <v>108</v>
      </c>
      <c r="C96">
        <v>145</v>
      </c>
      <c r="D96">
        <v>45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tabSelected="1" topLeftCell="A54" workbookViewId="0">
      <selection activeCell="A69" sqref="A69"/>
    </sheetView>
  </sheetViews>
  <sheetFormatPr baseColWidth="10" defaultColWidth="8.83203125" defaultRowHeight="17"/>
  <cols>
    <col min="1" max="1" width="41.33203125" bestFit="1" customWidth="1"/>
    <col min="3" max="3" width="20.5" bestFit="1" customWidth="1"/>
    <col min="4" max="4" width="28.6640625" bestFit="1" customWidth="1"/>
    <col min="5" max="7" width="12.6640625" bestFit="1" customWidth="1"/>
  </cols>
  <sheetData>
    <row r="1" spans="1:8">
      <c r="A1" t="s">
        <v>120</v>
      </c>
      <c r="B1" t="s">
        <v>118</v>
      </c>
      <c r="C1" s="1" t="s">
        <v>115</v>
      </c>
      <c r="D1" s="1" t="s">
        <v>1</v>
      </c>
      <c r="E1" s="1" t="s">
        <v>114</v>
      </c>
      <c r="F1" s="1" t="s">
        <v>121</v>
      </c>
      <c r="G1" s="1" t="s">
        <v>122</v>
      </c>
      <c r="H1" s="1" t="s">
        <v>116</v>
      </c>
    </row>
    <row r="2" spans="1:8">
      <c r="A2" t="str">
        <f>B2&amp;"_"&amp;C2&amp;"_"&amp;D2&amp;"_"&amp;E2</f>
        <v>현대_싼타페 하이브리드_익스클루시브_2025</v>
      </c>
      <c r="B2" t="s">
        <v>119</v>
      </c>
      <c r="C2" s="2" t="s">
        <v>109</v>
      </c>
      <c r="D2" s="2" t="s">
        <v>110</v>
      </c>
      <c r="E2" s="2">
        <v>2025</v>
      </c>
      <c r="F2" s="4">
        <v>40310000</v>
      </c>
      <c r="G2" s="4">
        <v>38700000</v>
      </c>
      <c r="H2" s="2" t="s">
        <v>117</v>
      </c>
    </row>
    <row r="3" spans="1:8">
      <c r="A3" t="str">
        <f t="shared" ref="A3:A31" si="0">B3&amp;"_"&amp;C3&amp;"_"&amp;D3&amp;"_"&amp;E3</f>
        <v>현대_싼타페 하이브리드_프레스티지_2025</v>
      </c>
      <c r="B3" t="s">
        <v>119</v>
      </c>
      <c r="C3" s="2" t="s">
        <v>109</v>
      </c>
      <c r="D3" s="2" t="s">
        <v>111</v>
      </c>
      <c r="E3" s="2">
        <v>2025</v>
      </c>
      <c r="F3" s="4">
        <v>43480000</v>
      </c>
      <c r="G3" s="4">
        <v>41820000</v>
      </c>
      <c r="H3" s="2" t="s">
        <v>117</v>
      </c>
    </row>
    <row r="4" spans="1:8">
      <c r="A4" t="str">
        <f t="shared" si="0"/>
        <v>현대_싼타페 하이브리드_프레스티지 플러스_2025</v>
      </c>
      <c r="B4" t="s">
        <v>119</v>
      </c>
      <c r="C4" s="2" t="s">
        <v>109</v>
      </c>
      <c r="D4" s="2" t="s">
        <v>112</v>
      </c>
      <c r="E4" s="2">
        <v>2025</v>
      </c>
      <c r="F4" s="4">
        <v>44900000</v>
      </c>
      <c r="G4" s="4">
        <v>43220000</v>
      </c>
      <c r="H4" s="2" t="s">
        <v>117</v>
      </c>
    </row>
    <row r="5" spans="1:8">
      <c r="A5" t="str">
        <f t="shared" si="0"/>
        <v>현대_싼타페 하이브리드_캘리그래피_2025</v>
      </c>
      <c r="B5" t="s">
        <v>119</v>
      </c>
      <c r="C5" s="2" t="s">
        <v>109</v>
      </c>
      <c r="D5" s="2" t="s">
        <v>113</v>
      </c>
      <c r="E5" s="2">
        <v>2025</v>
      </c>
      <c r="F5" s="4">
        <v>48820000</v>
      </c>
      <c r="G5" s="4">
        <v>47080000</v>
      </c>
      <c r="H5" s="2" t="s">
        <v>117</v>
      </c>
    </row>
    <row r="6" spans="1:8">
      <c r="A6" t="str">
        <f t="shared" si="0"/>
        <v>기아_EV4_에어 스탠다드_2025</v>
      </c>
      <c r="B6" t="s">
        <v>130</v>
      </c>
      <c r="C6" t="s">
        <v>131</v>
      </c>
      <c r="D6" s="2" t="s">
        <v>126</v>
      </c>
      <c r="E6">
        <v>2025</v>
      </c>
      <c r="F6" s="8">
        <v>42570000</v>
      </c>
      <c r="G6" s="9">
        <v>40420000</v>
      </c>
    </row>
    <row r="7" spans="1:8">
      <c r="A7" t="str">
        <f t="shared" si="0"/>
        <v>기아_EV4_에어 롱레인지_2025</v>
      </c>
      <c r="B7" t="s">
        <v>130</v>
      </c>
      <c r="C7" t="s">
        <v>131</v>
      </c>
      <c r="D7" s="2" t="s">
        <v>123</v>
      </c>
      <c r="E7">
        <v>2025</v>
      </c>
      <c r="F7" s="8">
        <v>47000000</v>
      </c>
      <c r="G7" s="9">
        <v>44620000</v>
      </c>
    </row>
    <row r="8" spans="1:8">
      <c r="A8" t="str">
        <f t="shared" si="0"/>
        <v>기아_EV4_어스 스탠다드_2025</v>
      </c>
      <c r="B8" t="s">
        <v>130</v>
      </c>
      <c r="C8" t="s">
        <v>131</v>
      </c>
      <c r="D8" s="2" t="s">
        <v>127</v>
      </c>
      <c r="E8">
        <v>2025</v>
      </c>
      <c r="F8" s="8">
        <v>47410000</v>
      </c>
      <c r="G8" s="9">
        <v>45010000</v>
      </c>
    </row>
    <row r="9" spans="1:8">
      <c r="A9" t="str">
        <f t="shared" si="0"/>
        <v>기아_EV4_어스 롱레인지_2025</v>
      </c>
      <c r="B9" t="s">
        <v>130</v>
      </c>
      <c r="C9" t="s">
        <v>131</v>
      </c>
      <c r="D9" s="2" t="s">
        <v>125</v>
      </c>
      <c r="E9">
        <v>2025</v>
      </c>
      <c r="F9" s="8">
        <v>51830000</v>
      </c>
      <c r="G9" s="9">
        <v>49210000</v>
      </c>
    </row>
    <row r="10" spans="1:8">
      <c r="A10" t="str">
        <f t="shared" si="0"/>
        <v>기아_EV4_GT-line 스탠다드_2025</v>
      </c>
      <c r="B10" t="s">
        <v>130</v>
      </c>
      <c r="C10" t="s">
        <v>131</v>
      </c>
      <c r="D10" s="2" t="s">
        <v>128</v>
      </c>
      <c r="E10">
        <v>2025</v>
      </c>
      <c r="F10" s="8">
        <v>48570000</v>
      </c>
      <c r="G10" s="9">
        <v>46110000</v>
      </c>
    </row>
    <row r="11" spans="1:8">
      <c r="A11" t="str">
        <f t="shared" si="0"/>
        <v>기아_EV4_GT-line 롱레인지_2025</v>
      </c>
      <c r="B11" t="s">
        <v>130</v>
      </c>
      <c r="C11" t="s">
        <v>131</v>
      </c>
      <c r="D11" s="2" t="s">
        <v>129</v>
      </c>
      <c r="E11">
        <v>2025</v>
      </c>
      <c r="F11" s="8">
        <v>52990000</v>
      </c>
      <c r="G11" s="9">
        <v>50310000</v>
      </c>
    </row>
    <row r="12" spans="1:8">
      <c r="A12" t="str">
        <f t="shared" si="0"/>
        <v>기아_EV3_에어 스탠다드_2025</v>
      </c>
      <c r="B12" t="s">
        <v>130</v>
      </c>
      <c r="C12" t="s">
        <v>132</v>
      </c>
      <c r="D12" s="2" t="s">
        <v>126</v>
      </c>
      <c r="E12">
        <v>2025</v>
      </c>
      <c r="F12" s="8">
        <v>42080000</v>
      </c>
      <c r="G12" s="9">
        <v>39950000</v>
      </c>
    </row>
    <row r="13" spans="1:8">
      <c r="A13" t="str">
        <f t="shared" si="0"/>
        <v>기아_EV3_에어 롱레인지_2025</v>
      </c>
      <c r="B13" t="s">
        <v>130</v>
      </c>
      <c r="C13" t="s">
        <v>132</v>
      </c>
      <c r="D13" s="2" t="s">
        <v>123</v>
      </c>
      <c r="E13">
        <v>2025</v>
      </c>
      <c r="F13" s="8">
        <v>46500000</v>
      </c>
      <c r="G13" s="9">
        <v>44150000</v>
      </c>
    </row>
    <row r="14" spans="1:8">
      <c r="A14" t="str">
        <f t="shared" si="0"/>
        <v>기아_EV3_어스 스탠다드_2025</v>
      </c>
      <c r="B14" t="s">
        <v>130</v>
      </c>
      <c r="C14" t="s">
        <v>132</v>
      </c>
      <c r="D14" s="2" t="s">
        <v>127</v>
      </c>
      <c r="E14">
        <v>2025</v>
      </c>
      <c r="F14" s="8">
        <v>46240000</v>
      </c>
      <c r="G14" s="9">
        <v>43900000</v>
      </c>
    </row>
    <row r="15" spans="1:8">
      <c r="A15" t="str">
        <f t="shared" si="0"/>
        <v>기아_EV3_어스 롱레인지_2025</v>
      </c>
      <c r="B15" t="s">
        <v>130</v>
      </c>
      <c r="C15" t="s">
        <v>132</v>
      </c>
      <c r="D15" s="2" t="s">
        <v>125</v>
      </c>
      <c r="E15">
        <v>2025</v>
      </c>
      <c r="F15" s="8">
        <v>50660000</v>
      </c>
      <c r="G15" s="9">
        <v>48100000</v>
      </c>
    </row>
    <row r="16" spans="1:8">
      <c r="A16" t="str">
        <f t="shared" si="0"/>
        <v>기아_EV3_GT-line 스탠다드_2025</v>
      </c>
      <c r="B16" t="s">
        <v>130</v>
      </c>
      <c r="C16" t="s">
        <v>132</v>
      </c>
      <c r="D16" s="2" t="s">
        <v>128</v>
      </c>
      <c r="E16">
        <v>2025</v>
      </c>
      <c r="F16" s="8">
        <v>47140000</v>
      </c>
      <c r="G16" s="9">
        <v>44750000</v>
      </c>
    </row>
    <row r="17" spans="1:9">
      <c r="A17" t="str">
        <f t="shared" si="0"/>
        <v>기아_EV3_GT-line 롱레인지_2025</v>
      </c>
      <c r="B17" t="s">
        <v>130</v>
      </c>
      <c r="C17" t="s">
        <v>132</v>
      </c>
      <c r="D17" s="2" t="s">
        <v>129</v>
      </c>
      <c r="E17">
        <v>2025</v>
      </c>
      <c r="F17" s="8">
        <v>51560000</v>
      </c>
      <c r="G17" s="9">
        <v>48950000</v>
      </c>
    </row>
    <row r="18" spans="1:9">
      <c r="A18" t="str">
        <f t="shared" si="0"/>
        <v>기아_EV6_라이트 스탠다드_2026</v>
      </c>
      <c r="B18" t="s">
        <v>130</v>
      </c>
      <c r="C18" t="s">
        <v>133</v>
      </c>
      <c r="D18" s="2" t="s">
        <v>134</v>
      </c>
      <c r="E18">
        <v>2026</v>
      </c>
      <c r="F18" s="8">
        <v>49080000</v>
      </c>
      <c r="G18" s="9">
        <v>46600000</v>
      </c>
    </row>
    <row r="19" spans="1:9">
      <c r="A19" t="str">
        <f t="shared" si="0"/>
        <v>기아_EV6_라이트 롱레인지_2026</v>
      </c>
      <c r="B19" t="s">
        <v>130</v>
      </c>
      <c r="C19" t="s">
        <v>133</v>
      </c>
      <c r="D19" s="2" t="s">
        <v>135</v>
      </c>
      <c r="E19">
        <v>2026</v>
      </c>
      <c r="F19" s="8">
        <v>53300000</v>
      </c>
      <c r="G19" s="9">
        <v>50600000</v>
      </c>
    </row>
    <row r="20" spans="1:9">
      <c r="A20" t="str">
        <f t="shared" si="0"/>
        <v>기아_EV6_에어 스탠다드_2026</v>
      </c>
      <c r="B20" t="s">
        <v>130</v>
      </c>
      <c r="C20" t="s">
        <v>133</v>
      </c>
      <c r="D20" s="2" t="s">
        <v>126</v>
      </c>
      <c r="E20">
        <v>2026</v>
      </c>
      <c r="F20" s="8">
        <v>54130000</v>
      </c>
      <c r="G20" s="9">
        <v>51400000</v>
      </c>
    </row>
    <row r="21" spans="1:9">
      <c r="A21" t="str">
        <f t="shared" si="0"/>
        <v>기아_EV6_에어 롱레인지_2026</v>
      </c>
      <c r="B21" t="s">
        <v>130</v>
      </c>
      <c r="C21" t="s">
        <v>133</v>
      </c>
      <c r="D21" s="2" t="s">
        <v>123</v>
      </c>
      <c r="E21">
        <v>2026</v>
      </c>
      <c r="F21" s="8">
        <v>58340000</v>
      </c>
      <c r="G21" s="9">
        <v>55400000</v>
      </c>
      <c r="H21" s="6"/>
      <c r="I21" s="6"/>
    </row>
    <row r="22" spans="1:9">
      <c r="A22" t="str">
        <f t="shared" si="0"/>
        <v>기아_EV6_어스 스탠다드_2026</v>
      </c>
      <c r="B22" t="s">
        <v>130</v>
      </c>
      <c r="C22" t="s">
        <v>133</v>
      </c>
      <c r="D22" s="2" t="s">
        <v>127</v>
      </c>
      <c r="E22">
        <v>2026</v>
      </c>
      <c r="F22" s="8">
        <v>58350000</v>
      </c>
      <c r="G22" s="9">
        <v>55400000</v>
      </c>
    </row>
    <row r="23" spans="1:9">
      <c r="A23" t="str">
        <f t="shared" si="0"/>
        <v>기아_EV6_어스 롱레인지_2026</v>
      </c>
      <c r="B23" t="s">
        <v>130</v>
      </c>
      <c r="C23" t="s">
        <v>133</v>
      </c>
      <c r="D23" s="2" t="s">
        <v>125</v>
      </c>
      <c r="E23">
        <v>2026</v>
      </c>
      <c r="F23" s="8">
        <v>62570000</v>
      </c>
      <c r="G23" s="9">
        <v>59400000</v>
      </c>
    </row>
    <row r="24" spans="1:9">
      <c r="A24" t="str">
        <f t="shared" si="0"/>
        <v>기아_EV6_GT-line 롱레인지_2026</v>
      </c>
      <c r="B24" t="s">
        <v>130</v>
      </c>
      <c r="C24" t="s">
        <v>133</v>
      </c>
      <c r="D24" s="2" t="s">
        <v>129</v>
      </c>
      <c r="E24">
        <v>2026</v>
      </c>
      <c r="F24" s="8">
        <v>63200000</v>
      </c>
      <c r="G24" s="9">
        <v>60000000</v>
      </c>
      <c r="H24" s="6"/>
    </row>
    <row r="25" spans="1:9">
      <c r="A25" t="str">
        <f t="shared" si="0"/>
        <v>기아_EV6_라이트 스탠다드_2025</v>
      </c>
      <c r="B25" t="s">
        <v>43</v>
      </c>
      <c r="C25" t="s">
        <v>124</v>
      </c>
      <c r="D25" s="2" t="s">
        <v>134</v>
      </c>
      <c r="E25">
        <v>2025</v>
      </c>
      <c r="F25" s="8">
        <v>49080000</v>
      </c>
      <c r="G25" s="9">
        <v>46600000</v>
      </c>
    </row>
    <row r="26" spans="1:9">
      <c r="A26" t="str">
        <f t="shared" si="0"/>
        <v>기아_EV6_라이트 롱레인지_2025</v>
      </c>
      <c r="B26" t="s">
        <v>43</v>
      </c>
      <c r="C26" t="s">
        <v>124</v>
      </c>
      <c r="D26" s="2" t="s">
        <v>135</v>
      </c>
      <c r="E26">
        <v>2025</v>
      </c>
      <c r="F26" s="8">
        <v>53300000</v>
      </c>
      <c r="G26" s="9">
        <v>50600000</v>
      </c>
    </row>
    <row r="27" spans="1:9">
      <c r="A27" t="str">
        <f t="shared" si="0"/>
        <v>기아_EV6_에어 스탠다드_2025</v>
      </c>
      <c r="B27" t="s">
        <v>43</v>
      </c>
      <c r="C27" t="s">
        <v>124</v>
      </c>
      <c r="D27" s="2" t="s">
        <v>126</v>
      </c>
      <c r="E27">
        <v>2025</v>
      </c>
      <c r="F27" s="8">
        <v>54030000</v>
      </c>
      <c r="G27" s="9">
        <v>51300000</v>
      </c>
    </row>
    <row r="28" spans="1:9">
      <c r="A28" t="str">
        <f t="shared" si="0"/>
        <v>기아_EV6_에어 롱레인지_2025</v>
      </c>
      <c r="B28" t="s">
        <v>43</v>
      </c>
      <c r="C28" t="s">
        <v>124</v>
      </c>
      <c r="D28" s="2" t="s">
        <v>123</v>
      </c>
      <c r="E28">
        <v>2025</v>
      </c>
      <c r="F28" s="8">
        <v>58240000</v>
      </c>
      <c r="G28" s="9">
        <v>55300000</v>
      </c>
    </row>
    <row r="29" spans="1:9">
      <c r="A29" t="str">
        <f t="shared" si="0"/>
        <v>기아_EV6_어스 스탠다드_2025</v>
      </c>
      <c r="B29" t="s">
        <v>43</v>
      </c>
      <c r="C29" t="s">
        <v>124</v>
      </c>
      <c r="D29" s="2" t="s">
        <v>127</v>
      </c>
      <c r="E29">
        <v>2025</v>
      </c>
      <c r="F29" s="8">
        <v>58300000</v>
      </c>
      <c r="G29" s="9">
        <v>55350000</v>
      </c>
    </row>
    <row r="30" spans="1:9">
      <c r="A30" t="str">
        <f t="shared" si="0"/>
        <v>기아_EV6_어스 롱레인지_2025</v>
      </c>
      <c r="B30" t="s">
        <v>43</v>
      </c>
      <c r="C30" t="s">
        <v>124</v>
      </c>
      <c r="D30" s="2" t="s">
        <v>125</v>
      </c>
      <c r="E30">
        <v>2025</v>
      </c>
      <c r="F30" s="8">
        <v>62520000</v>
      </c>
      <c r="G30" s="9">
        <v>59350000</v>
      </c>
    </row>
    <row r="31" spans="1:9">
      <c r="A31" t="str">
        <f t="shared" si="0"/>
        <v>기아_EV6_GT-line 롱레인지_2025</v>
      </c>
      <c r="B31" t="s">
        <v>43</v>
      </c>
      <c r="C31" t="s">
        <v>124</v>
      </c>
      <c r="D31" s="2" t="s">
        <v>129</v>
      </c>
      <c r="E31">
        <v>2025</v>
      </c>
      <c r="F31" s="8">
        <v>63150000</v>
      </c>
      <c r="G31" s="9">
        <v>59950000</v>
      </c>
    </row>
    <row r="32" spans="1:9">
      <c r="A32" t="str">
        <f t="shared" ref="A32:A95" si="1">B32&amp;"_"&amp;C32&amp;"_"&amp;D32&amp;"_"&amp;E32</f>
        <v>기아_EV3_에어 스탠다드_2026</v>
      </c>
      <c r="B32" t="s">
        <v>130</v>
      </c>
      <c r="C32" t="s">
        <v>132</v>
      </c>
      <c r="D32" s="2" t="s">
        <v>126</v>
      </c>
      <c r="E32">
        <v>2026</v>
      </c>
      <c r="F32" s="8">
        <v>42080000</v>
      </c>
      <c r="G32" s="9">
        <v>39950000</v>
      </c>
      <c r="H32" t="s">
        <v>136</v>
      </c>
    </row>
    <row r="33" spans="1:8">
      <c r="A33" t="str">
        <f t="shared" si="1"/>
        <v>기아_EV3_에어 롱레인지_2026</v>
      </c>
      <c r="B33" t="s">
        <v>130</v>
      </c>
      <c r="C33" t="s">
        <v>132</v>
      </c>
      <c r="D33" s="2" t="s">
        <v>123</v>
      </c>
      <c r="E33">
        <v>2026</v>
      </c>
      <c r="F33" s="8">
        <v>46500000</v>
      </c>
      <c r="G33" s="9">
        <v>44150000</v>
      </c>
      <c r="H33" t="s">
        <v>136</v>
      </c>
    </row>
    <row r="34" spans="1:8">
      <c r="A34" t="str">
        <f t="shared" si="1"/>
        <v>기아_EV3_어스 스탠다드_2026</v>
      </c>
      <c r="B34" t="s">
        <v>130</v>
      </c>
      <c r="C34" t="s">
        <v>132</v>
      </c>
      <c r="D34" s="2" t="s">
        <v>127</v>
      </c>
      <c r="E34">
        <v>2026</v>
      </c>
      <c r="F34" s="8">
        <v>46240000</v>
      </c>
      <c r="G34" s="9">
        <v>43900000</v>
      </c>
      <c r="H34" t="s">
        <v>136</v>
      </c>
    </row>
    <row r="35" spans="1:8">
      <c r="A35" t="str">
        <f t="shared" si="1"/>
        <v>기아_EV3_어스 롱레인지_2026</v>
      </c>
      <c r="B35" t="s">
        <v>130</v>
      </c>
      <c r="C35" t="s">
        <v>132</v>
      </c>
      <c r="D35" s="2" t="s">
        <v>125</v>
      </c>
      <c r="E35">
        <v>2026</v>
      </c>
      <c r="F35" s="8">
        <v>50660000</v>
      </c>
      <c r="G35" s="9">
        <v>48100000</v>
      </c>
      <c r="H35" t="s">
        <v>136</v>
      </c>
    </row>
    <row r="36" spans="1:8">
      <c r="A36" t="str">
        <f t="shared" si="1"/>
        <v>기아_EV3_GT-line 스탠다드_2026</v>
      </c>
      <c r="B36" t="s">
        <v>130</v>
      </c>
      <c r="C36" t="s">
        <v>132</v>
      </c>
      <c r="D36" s="2" t="s">
        <v>128</v>
      </c>
      <c r="E36">
        <v>2026</v>
      </c>
      <c r="F36" s="8">
        <v>47140000</v>
      </c>
      <c r="G36" s="9">
        <v>44750000</v>
      </c>
      <c r="H36" t="s">
        <v>136</v>
      </c>
    </row>
    <row r="37" spans="1:8">
      <c r="A37" t="str">
        <f t="shared" si="1"/>
        <v>기아_EV3_GT-line 롱레인지_2026</v>
      </c>
      <c r="B37" t="s">
        <v>130</v>
      </c>
      <c r="C37" t="s">
        <v>132</v>
      </c>
      <c r="D37" s="2" t="s">
        <v>129</v>
      </c>
      <c r="E37">
        <v>2026</v>
      </c>
      <c r="F37" s="8">
        <v>51560000</v>
      </c>
      <c r="G37" s="9">
        <v>48950000</v>
      </c>
      <c r="H37" t="s">
        <v>136</v>
      </c>
    </row>
    <row r="38" spans="1:8">
      <c r="A38" t="str">
        <f t="shared" si="1"/>
        <v>기아_쏘렌토_가솔린 터보 2.5 프레스티지_2026</v>
      </c>
      <c r="B38" t="s">
        <v>130</v>
      </c>
      <c r="C38" t="s">
        <v>149</v>
      </c>
      <c r="D38" s="2" t="s">
        <v>142</v>
      </c>
      <c r="E38">
        <v>2026</v>
      </c>
      <c r="F38" s="8">
        <v>36350000</v>
      </c>
      <c r="G38" s="9">
        <v>35800000</v>
      </c>
      <c r="H38" t="s">
        <v>117</v>
      </c>
    </row>
    <row r="39" spans="1:8">
      <c r="A39" t="str">
        <f t="shared" si="1"/>
        <v>기아_쏘렌토_가솔린 터보 2.5 노블레스_2026</v>
      </c>
      <c r="B39" t="s">
        <v>130</v>
      </c>
      <c r="C39" t="s">
        <v>149</v>
      </c>
      <c r="D39" s="2" t="s">
        <v>143</v>
      </c>
      <c r="E39">
        <v>2026</v>
      </c>
      <c r="F39" s="8">
        <v>39510000</v>
      </c>
      <c r="G39" s="9">
        <v>38910000</v>
      </c>
      <c r="H39" t="s">
        <v>117</v>
      </c>
    </row>
    <row r="40" spans="1:8">
      <c r="A40" t="str">
        <f t="shared" si="1"/>
        <v>기아_쏘렌토_가솔린 터보 2.5 시그니처_2026</v>
      </c>
      <c r="B40" t="s">
        <v>130</v>
      </c>
      <c r="C40" t="s">
        <v>149</v>
      </c>
      <c r="D40" s="2" t="s">
        <v>144</v>
      </c>
      <c r="E40">
        <v>2026</v>
      </c>
      <c r="F40" s="8">
        <v>42320000</v>
      </c>
      <c r="G40" s="9">
        <v>41680000</v>
      </c>
      <c r="H40" t="s">
        <v>117</v>
      </c>
    </row>
    <row r="41" spans="1:8">
      <c r="A41" t="str">
        <f t="shared" si="1"/>
        <v>기아_쏘렌토_가솔린 터보 2.5 X-Line_2026</v>
      </c>
      <c r="B41" t="s">
        <v>130</v>
      </c>
      <c r="C41" t="s">
        <v>149</v>
      </c>
      <c r="D41" t="s">
        <v>145</v>
      </c>
      <c r="E41">
        <v>2026</v>
      </c>
      <c r="F41" s="8">
        <v>43260000</v>
      </c>
      <c r="G41" s="9">
        <v>42600000</v>
      </c>
      <c r="H41" t="s">
        <v>117</v>
      </c>
    </row>
    <row r="42" spans="1:8">
      <c r="A42" t="str">
        <f t="shared" si="1"/>
        <v>기아_쏘렌토_하이브리드 1.6 프레스티지_2026</v>
      </c>
      <c r="B42" t="s">
        <v>130</v>
      </c>
      <c r="C42" t="s">
        <v>149</v>
      </c>
      <c r="D42" s="2" t="s">
        <v>146</v>
      </c>
      <c r="E42">
        <v>2026</v>
      </c>
      <c r="F42" s="8">
        <v>40580000</v>
      </c>
      <c r="G42" s="9">
        <v>38960000</v>
      </c>
      <c r="H42" t="s">
        <v>117</v>
      </c>
    </row>
    <row r="43" spans="1:8">
      <c r="A43" t="str">
        <f t="shared" si="1"/>
        <v>기아_쏘렌토_하이브리드 1.6 노블레스_2026</v>
      </c>
      <c r="B43" t="s">
        <v>130</v>
      </c>
      <c r="C43" t="s">
        <v>149</v>
      </c>
      <c r="D43" s="2" t="s">
        <v>137</v>
      </c>
      <c r="E43">
        <v>2026</v>
      </c>
      <c r="F43" s="8">
        <v>43840000</v>
      </c>
      <c r="G43" s="9">
        <v>42170000</v>
      </c>
      <c r="H43" t="s">
        <v>117</v>
      </c>
    </row>
    <row r="44" spans="1:8">
      <c r="A44" t="str">
        <f t="shared" si="1"/>
        <v>기아_쏘렌토_하이브리드 1.6 시그니처_2026</v>
      </c>
      <c r="B44" t="s">
        <v>130</v>
      </c>
      <c r="C44" t="s">
        <v>149</v>
      </c>
      <c r="D44" s="2" t="s">
        <v>147</v>
      </c>
      <c r="E44">
        <v>2026</v>
      </c>
      <c r="F44" s="8">
        <v>46370000</v>
      </c>
      <c r="G44" s="9">
        <v>44670000</v>
      </c>
      <c r="H44" t="s">
        <v>117</v>
      </c>
    </row>
    <row r="45" spans="1:8">
      <c r="A45" t="str">
        <f t="shared" si="1"/>
        <v>기아_쏘렌토_하이브리드 1.6 X-Line_2026</v>
      </c>
      <c r="B45" t="s">
        <v>130</v>
      </c>
      <c r="C45" t="s">
        <v>149</v>
      </c>
      <c r="D45" t="s">
        <v>148</v>
      </c>
      <c r="E45">
        <v>2026</v>
      </c>
      <c r="F45" s="8">
        <v>47310000</v>
      </c>
      <c r="G45" s="9">
        <v>45590000</v>
      </c>
      <c r="H45" t="s">
        <v>117</v>
      </c>
    </row>
    <row r="46" spans="1:8">
      <c r="A46" t="str">
        <f t="shared" si="1"/>
        <v>기아_카니발_가솔린 3.5 프레스티지 9인승_2025</v>
      </c>
      <c r="B46" t="s">
        <v>130</v>
      </c>
      <c r="C46" s="12" t="s">
        <v>150</v>
      </c>
      <c r="D46" s="2" t="s">
        <v>151</v>
      </c>
      <c r="E46">
        <v>2025</v>
      </c>
      <c r="F46" s="8">
        <v>35510000</v>
      </c>
      <c r="G46" s="9">
        <f>F46</f>
        <v>35510000</v>
      </c>
    </row>
    <row r="47" spans="1:8">
      <c r="A47" t="str">
        <f t="shared" ref="A47:A69" si="2">B47&amp;"_"&amp;C47&amp;"_"&amp;D47&amp;"_"&amp;E47</f>
        <v>기아_카니발_가솔린 3.5 노블레스 9인승_2025</v>
      </c>
      <c r="B47" t="s">
        <v>130</v>
      </c>
      <c r="C47" s="12" t="s">
        <v>150</v>
      </c>
      <c r="D47" s="2" t="s">
        <v>152</v>
      </c>
      <c r="E47">
        <v>2025</v>
      </c>
      <c r="F47" s="8">
        <v>39910000</v>
      </c>
      <c r="G47" s="9">
        <f>F47</f>
        <v>39910000</v>
      </c>
    </row>
    <row r="48" spans="1:8">
      <c r="A48" t="str">
        <f t="shared" si="2"/>
        <v>기아_카니발_가솔린 3.5 노블레스 7인승_2025</v>
      </c>
      <c r="B48" t="s">
        <v>130</v>
      </c>
      <c r="C48" s="12" t="s">
        <v>150</v>
      </c>
      <c r="D48" s="2" t="s">
        <v>153</v>
      </c>
      <c r="E48">
        <v>2025</v>
      </c>
      <c r="F48" s="8">
        <v>42500000</v>
      </c>
      <c r="G48" s="9">
        <v>41850000</v>
      </c>
    </row>
    <row r="49" spans="1:8">
      <c r="A49" t="str">
        <f t="shared" si="2"/>
        <v>기아_카니발_가솔린 3.5 아웃도어 7인승_2025</v>
      </c>
      <c r="B49" t="s">
        <v>130</v>
      </c>
      <c r="C49" s="12" t="s">
        <v>150</v>
      </c>
      <c r="D49" s="2" t="s">
        <v>154</v>
      </c>
      <c r="E49">
        <v>2025</v>
      </c>
      <c r="F49" s="8">
        <v>41510000</v>
      </c>
      <c r="G49" s="9">
        <v>40880000</v>
      </c>
    </row>
    <row r="50" spans="1:8">
      <c r="A50" t="str">
        <f t="shared" si="2"/>
        <v>기아_카니발_가솔린 3.5 시그니처 9인승_2025</v>
      </c>
      <c r="B50" t="s">
        <v>130</v>
      </c>
      <c r="C50" s="12" t="s">
        <v>150</v>
      </c>
      <c r="D50" s="2" t="s">
        <v>155</v>
      </c>
      <c r="E50">
        <v>2025</v>
      </c>
      <c r="F50" s="8">
        <v>43560000</v>
      </c>
      <c r="G50" s="9">
        <f>F50</f>
        <v>43560000</v>
      </c>
    </row>
    <row r="51" spans="1:8">
      <c r="A51" t="str">
        <f t="shared" si="2"/>
        <v>기아_카니발_가솔린 3.5 시그니처 7인승_2025</v>
      </c>
      <c r="B51" t="s">
        <v>130</v>
      </c>
      <c r="C51" s="12" t="s">
        <v>150</v>
      </c>
      <c r="D51" s="2" t="s">
        <v>156</v>
      </c>
      <c r="E51">
        <v>2025</v>
      </c>
      <c r="F51" s="8">
        <v>46360000</v>
      </c>
      <c r="G51" s="9">
        <v>45660000</v>
      </c>
    </row>
    <row r="52" spans="1:8">
      <c r="A52" t="str">
        <f t="shared" si="2"/>
        <v>기아_카니발_가솔린 3.5 그래비티 9인승_2025</v>
      </c>
      <c r="B52" t="s">
        <v>130</v>
      </c>
      <c r="C52" s="12" t="s">
        <v>150</v>
      </c>
      <c r="D52" s="2" t="s">
        <v>157</v>
      </c>
      <c r="E52">
        <v>2025</v>
      </c>
      <c r="F52" s="8">
        <v>44590000</v>
      </c>
      <c r="G52" s="9">
        <f>F52</f>
        <v>44590000</v>
      </c>
    </row>
    <row r="53" spans="1:8">
      <c r="A53" t="str">
        <f t="shared" si="2"/>
        <v>기아_카니발_가솔린 3.5 그래비티 7인승_2025</v>
      </c>
      <c r="B53" t="s">
        <v>130</v>
      </c>
      <c r="C53" s="12" t="s">
        <v>150</v>
      </c>
      <c r="D53" s="2" t="s">
        <v>158</v>
      </c>
      <c r="E53">
        <v>2025</v>
      </c>
      <c r="F53" s="8">
        <v>47180000</v>
      </c>
      <c r="G53" s="9">
        <v>46460000</v>
      </c>
    </row>
    <row r="54" spans="1:8">
      <c r="A54" t="str">
        <f t="shared" si="2"/>
        <v>기아_카니발_디젤 2.2 프레스티지 9인승_2025</v>
      </c>
      <c r="B54" t="s">
        <v>130</v>
      </c>
      <c r="C54" s="12" t="s">
        <v>150</v>
      </c>
      <c r="D54" s="2" t="s">
        <v>159</v>
      </c>
      <c r="E54">
        <v>2025</v>
      </c>
      <c r="F54" s="8">
        <v>37460000</v>
      </c>
      <c r="G54" s="9">
        <f t="shared" ref="G54:G55" si="3">F54</f>
        <v>37460000</v>
      </c>
    </row>
    <row r="55" spans="1:8">
      <c r="A55" t="str">
        <f t="shared" si="2"/>
        <v>기아_카니발_디젤 2.2 노블레스 9인승_2025</v>
      </c>
      <c r="B55" t="s">
        <v>130</v>
      </c>
      <c r="C55" s="12" t="s">
        <v>150</v>
      </c>
      <c r="D55" s="2" t="s">
        <v>160</v>
      </c>
      <c r="E55">
        <v>2025</v>
      </c>
      <c r="F55" s="8">
        <v>41860000</v>
      </c>
      <c r="G55" s="9">
        <f t="shared" si="3"/>
        <v>41860000</v>
      </c>
    </row>
    <row r="56" spans="1:8">
      <c r="A56" t="str">
        <f t="shared" si="2"/>
        <v>기아_카니발_디젤 2.2 노블레스 7인승_2025</v>
      </c>
      <c r="B56" t="s">
        <v>130</v>
      </c>
      <c r="C56" s="12" t="s">
        <v>150</v>
      </c>
      <c r="D56" s="2" t="s">
        <v>161</v>
      </c>
      <c r="E56">
        <v>2025</v>
      </c>
      <c r="F56" s="8">
        <v>44430000</v>
      </c>
      <c r="G56" s="9">
        <v>43780000</v>
      </c>
    </row>
    <row r="57" spans="1:8">
      <c r="A57" t="str">
        <f t="shared" si="2"/>
        <v>기아_카니발_디젤 2.2 아웃도어 7인승_2025</v>
      </c>
      <c r="B57" t="s">
        <v>130</v>
      </c>
      <c r="C57" s="12" t="s">
        <v>150</v>
      </c>
      <c r="D57" s="2" t="s">
        <v>162</v>
      </c>
      <c r="E57">
        <v>2025</v>
      </c>
      <c r="F57" s="8">
        <v>43440000</v>
      </c>
      <c r="G57" s="9">
        <v>42810000</v>
      </c>
    </row>
    <row r="58" spans="1:8">
      <c r="A58" t="str">
        <f t="shared" si="2"/>
        <v>기아_카니발_디젤 2.2 시그니처 9인승_2025</v>
      </c>
      <c r="B58" t="s">
        <v>130</v>
      </c>
      <c r="C58" s="12" t="s">
        <v>150</v>
      </c>
      <c r="D58" s="2" t="s">
        <v>163</v>
      </c>
      <c r="E58">
        <v>2025</v>
      </c>
      <c r="F58" s="8">
        <v>45510000</v>
      </c>
      <c r="G58" s="9">
        <f t="shared" ref="G58:G63" si="4">F58</f>
        <v>45510000</v>
      </c>
    </row>
    <row r="59" spans="1:8">
      <c r="A59" t="str">
        <f t="shared" si="2"/>
        <v>기아_카니발_디젤 2.2 시그니처 7인승_2025</v>
      </c>
      <c r="B59" t="s">
        <v>130</v>
      </c>
      <c r="C59" s="12" t="s">
        <v>150</v>
      </c>
      <c r="D59" s="2" t="s">
        <v>164</v>
      </c>
      <c r="E59">
        <v>2025</v>
      </c>
      <c r="F59" s="8">
        <v>48290000</v>
      </c>
      <c r="G59" s="9">
        <v>47590000</v>
      </c>
    </row>
    <row r="60" spans="1:8">
      <c r="A60" t="str">
        <f t="shared" si="2"/>
        <v>기아_카니발_디젤 2.2 그래비티 9인승_2025</v>
      </c>
      <c r="B60" t="s">
        <v>130</v>
      </c>
      <c r="C60" s="12" t="s">
        <v>150</v>
      </c>
      <c r="D60" s="2" t="s">
        <v>165</v>
      </c>
      <c r="E60">
        <v>2025</v>
      </c>
      <c r="F60" s="8">
        <v>46540000</v>
      </c>
      <c r="G60" s="9">
        <f t="shared" si="4"/>
        <v>46540000</v>
      </c>
    </row>
    <row r="61" spans="1:8">
      <c r="A61" t="str">
        <f t="shared" si="2"/>
        <v>기아_카니발_디젤 2.2 그래비티 7인승_2025</v>
      </c>
      <c r="B61" t="s">
        <v>130</v>
      </c>
      <c r="C61" s="12" t="s">
        <v>150</v>
      </c>
      <c r="D61" s="2" t="s">
        <v>166</v>
      </c>
      <c r="E61">
        <v>2025</v>
      </c>
      <c r="F61" s="8">
        <v>49110000</v>
      </c>
      <c r="G61" s="9">
        <v>48390000</v>
      </c>
    </row>
    <row r="62" spans="1:8">
      <c r="A62" t="str">
        <f t="shared" si="2"/>
        <v>기아_카니발_하이브리드 1.6 프레스티지 9인승_2025</v>
      </c>
      <c r="B62" t="s">
        <v>130</v>
      </c>
      <c r="C62" s="12" t="s">
        <v>150</v>
      </c>
      <c r="D62" s="2" t="s">
        <v>167</v>
      </c>
      <c r="E62">
        <v>2025</v>
      </c>
      <c r="F62" s="8">
        <v>40060000</v>
      </c>
      <c r="G62" s="9">
        <f t="shared" si="4"/>
        <v>40060000</v>
      </c>
    </row>
    <row r="63" spans="1:8">
      <c r="A63" t="str">
        <f t="shared" si="2"/>
        <v>기아_카니발_하이브리드 1.6 노블레스 9인승_2025</v>
      </c>
      <c r="B63" t="s">
        <v>130</v>
      </c>
      <c r="C63" s="12" t="s">
        <v>150</v>
      </c>
      <c r="D63" s="2" t="s">
        <v>141</v>
      </c>
      <c r="E63">
        <v>2025</v>
      </c>
      <c r="F63" s="8">
        <v>44460000</v>
      </c>
      <c r="G63" s="9">
        <f t="shared" si="4"/>
        <v>44460000</v>
      </c>
      <c r="H63" s="6"/>
    </row>
    <row r="64" spans="1:8">
      <c r="A64" t="str">
        <f t="shared" si="2"/>
        <v>기아_카니발_하이브리드 1.6 노블레스 7인승_2025</v>
      </c>
      <c r="B64" t="s">
        <v>130</v>
      </c>
      <c r="C64" s="12" t="s">
        <v>150</v>
      </c>
      <c r="D64" s="2" t="s">
        <v>140</v>
      </c>
      <c r="E64">
        <v>2025</v>
      </c>
      <c r="F64" s="8">
        <v>47000000</v>
      </c>
      <c r="G64" s="9">
        <v>46350000</v>
      </c>
    </row>
    <row r="65" spans="1:8">
      <c r="A65" t="str">
        <f t="shared" si="2"/>
        <v>기아_카니발_하이브리드 1.6 아웃도어 7인승_2025</v>
      </c>
      <c r="B65" t="s">
        <v>130</v>
      </c>
      <c r="C65" s="12" t="s">
        <v>150</v>
      </c>
      <c r="D65" s="2" t="s">
        <v>168</v>
      </c>
      <c r="E65">
        <v>2025</v>
      </c>
      <c r="F65" s="8">
        <v>46010000</v>
      </c>
      <c r="G65" s="9">
        <v>45380000</v>
      </c>
    </row>
    <row r="66" spans="1:8">
      <c r="A66" t="str">
        <f t="shared" si="2"/>
        <v>기아_카니발_하이브리드 1.6 시그니처 9인승_2025</v>
      </c>
      <c r="B66" t="s">
        <v>130</v>
      </c>
      <c r="C66" s="12" t="s">
        <v>150</v>
      </c>
      <c r="D66" s="2" t="s">
        <v>169</v>
      </c>
      <c r="E66">
        <v>2025</v>
      </c>
      <c r="F66" s="8">
        <v>48110000</v>
      </c>
      <c r="G66" s="9">
        <f t="shared" ref="G66:G68" si="5">F66</f>
        <v>48110000</v>
      </c>
    </row>
    <row r="67" spans="1:8">
      <c r="A67" t="str">
        <f t="shared" si="2"/>
        <v>기아_카니발_하이브리드 1.6 시그니처 7인승_2025</v>
      </c>
      <c r="B67" t="s">
        <v>130</v>
      </c>
      <c r="C67" s="12" t="s">
        <v>150</v>
      </c>
      <c r="D67" s="2" t="s">
        <v>170</v>
      </c>
      <c r="E67">
        <v>2025</v>
      </c>
      <c r="F67" s="8">
        <v>50860000</v>
      </c>
      <c r="G67" s="9">
        <v>50160000</v>
      </c>
    </row>
    <row r="68" spans="1:8">
      <c r="A68" t="str">
        <f t="shared" si="2"/>
        <v>기아_카니발_하이브리드 1.6 그래비티 9인승_2025</v>
      </c>
      <c r="B68" t="s">
        <v>130</v>
      </c>
      <c r="C68" s="12" t="s">
        <v>150</v>
      </c>
      <c r="D68" s="2" t="s">
        <v>139</v>
      </c>
      <c r="E68">
        <v>2025</v>
      </c>
      <c r="F68" s="8">
        <v>49140000</v>
      </c>
      <c r="G68" s="9">
        <f t="shared" si="5"/>
        <v>49140000</v>
      </c>
    </row>
    <row r="69" spans="1:8">
      <c r="A69" t="str">
        <f t="shared" si="2"/>
        <v>기아_카니발_하이브리드 1.6 그래비티 7인승_2025</v>
      </c>
      <c r="B69" t="s">
        <v>130</v>
      </c>
      <c r="C69" s="12" t="s">
        <v>150</v>
      </c>
      <c r="D69" s="2" t="s">
        <v>138</v>
      </c>
      <c r="E69">
        <v>2025</v>
      </c>
      <c r="F69" s="8">
        <v>51680000</v>
      </c>
      <c r="G69" s="9">
        <v>50960000</v>
      </c>
    </row>
    <row r="72" spans="1:8">
      <c r="E72" s="6"/>
      <c r="F72" s="6"/>
      <c r="G72" s="6"/>
      <c r="H72" s="6"/>
    </row>
    <row r="73" spans="1:8">
      <c r="E73" s="10"/>
    </row>
    <row r="74" spans="1:8">
      <c r="E74" s="10"/>
      <c r="H74" s="6"/>
    </row>
    <row r="75" spans="1:8">
      <c r="E75" s="10"/>
      <c r="F75" s="6"/>
    </row>
    <row r="76" spans="1:8">
      <c r="E76" s="10"/>
    </row>
    <row r="81" spans="2:2" ht="27">
      <c r="B81" s="5"/>
    </row>
    <row r="83" spans="2:2" ht="20">
      <c r="B83" s="11"/>
    </row>
    <row r="85" spans="2:2">
      <c r="B85" s="6"/>
    </row>
    <row r="86" spans="2:2">
      <c r="B86" s="6"/>
    </row>
    <row r="87" spans="2:2">
      <c r="B87" s="6"/>
    </row>
    <row r="89" spans="2:2" ht="20">
      <c r="B89" s="11"/>
    </row>
    <row r="91" spans="2:2">
      <c r="B91" s="6"/>
    </row>
    <row r="92" spans="2:2">
      <c r="B92" s="6"/>
    </row>
    <row r="94" spans="2:2" ht="20">
      <c r="B94" s="11"/>
    </row>
    <row r="96" spans="2:2">
      <c r="B96" s="6"/>
    </row>
    <row r="97" spans="2:3">
      <c r="B97" s="6"/>
    </row>
    <row r="98" spans="2:3">
      <c r="B98" s="6"/>
    </row>
    <row r="99" spans="2:3">
      <c r="B99" s="6"/>
    </row>
    <row r="100" spans="2:3">
      <c r="B100" s="6"/>
    </row>
    <row r="102" spans="2:3">
      <c r="B102" s="7"/>
    </row>
    <row r="103" spans="2:3">
      <c r="C103" s="7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보조금</vt:lpstr>
      <vt:lpstr>가격표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Blake (연준현)</cp:lastModifiedBy>
  <dcterms:created xsi:type="dcterms:W3CDTF">2025-08-11T08:18:27Z</dcterms:created>
  <dcterms:modified xsi:type="dcterms:W3CDTF">2025-08-12T05:39:19Z</dcterms:modified>
</cp:coreProperties>
</file>